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<sst xmlns="http://schemas.openxmlformats.org/spreadsheetml/2006/main" count="193" uniqueCount="108">
  <si>
    <t xml:space="preserve">Customer Churn KPI Dashboard</t>
  </si>
  <si>
    <t xml:space="preserve">15 synthetic customer records. Pick values in the yellow cells; every KPI, table and chart recalculates.</t>
  </si>
  <si>
    <t xml:space="preserve">FILTERS</t>
  </si>
  <si>
    <t xml:space="preserve">Contract type</t>
  </si>
  <si>
    <t xml:space="preserve">All</t>
  </si>
  <si>
    <t xml:space="preserve">Set a filter back to "All" to clear it.</t>
  </si>
  <si>
    <t xml:space="preserve">Tenure band</t>
  </si>
  <si>
    <t xml:space="preserve">Payment method</t>
  </si>
  <si>
    <t xml:space="preserve">KEY METRICS</t>
  </si>
  <si>
    <t xml:space="preserve">Customers in view</t>
  </si>
  <si>
    <t xml:space="preserve">Churn rate</t>
  </si>
  <si>
    <t xml:space="preserve">Churned / customers in view</t>
  </si>
  <si>
    <t xml:space="preserve">Retention rate</t>
  </si>
  <si>
    <t xml:space="preserve">1 - churn rate</t>
  </si>
  <si>
    <t xml:space="preserve">Churned customers</t>
  </si>
  <si>
    <t xml:space="preserve">Total MRR in view</t>
  </si>
  <si>
    <t xml:space="preserve">Sum of MonthlyCharges</t>
  </si>
  <si>
    <t xml:space="preserve">Revenue lost (MRR)</t>
  </si>
  <si>
    <t xml:space="preserve">MRR of churned customers</t>
  </si>
  <si>
    <t xml:space="preserve">Revenue lost, % of MRR</t>
  </si>
  <si>
    <t xml:space="preserve">Revenue at risk (MRR)</t>
  </si>
  <si>
    <t xml:space="preserve">Active customers on Month-to-Month or with 3+ tickets</t>
  </si>
  <si>
    <t xml:space="preserve">Avg tenure, all (months)</t>
  </si>
  <si>
    <t xml:space="preserve">Avg tenure, churned</t>
  </si>
  <si>
    <t xml:space="preserve">Avg tenure, retained</t>
  </si>
  <si>
    <t xml:space="preserve">Churn by contract type</t>
  </si>
  <si>
    <t xml:space="preserve">Contract</t>
  </si>
  <si>
    <t xml:space="preserve">Churned</t>
  </si>
  <si>
    <t xml:space="preserve">Retained</t>
  </si>
  <si>
    <t xml:space="preserve">Customers</t>
  </si>
  <si>
    <t xml:space="preserve">Month-to-Month</t>
  </si>
  <si>
    <t xml:space="preserve">One Year</t>
  </si>
  <si>
    <t xml:space="preserve">Two Year</t>
  </si>
  <si>
    <t xml:space="preserve">Churn by tenure band</t>
  </si>
  <si>
    <t xml:space="preserve">0-6 mo</t>
  </si>
  <si>
    <t xml:space="preserve">7-12 mo</t>
  </si>
  <si>
    <t xml:space="preserve">13-24 mo</t>
  </si>
  <si>
    <t xml:space="preserve">25+ mo</t>
  </si>
  <si>
    <t xml:space="preserve">Churn by payment method</t>
  </si>
  <si>
    <t xml:space="preserve">Payment</t>
  </si>
  <si>
    <t xml:space="preserve">Bank Transfer</t>
  </si>
  <si>
    <t xml:space="preserve">Credit Card</t>
  </si>
  <si>
    <t xml:space="preserve">Debit Card</t>
  </si>
  <si>
    <t xml:space="preserve">UPI</t>
  </si>
  <si>
    <t xml:space="preserve">Monthly revenue by plan</t>
  </si>
  <si>
    <t xml:space="preserve">Plan</t>
  </si>
  <si>
    <t xml:space="preserve">MRR lost</t>
  </si>
  <si>
    <t xml:space="preserve">MRR retained</t>
  </si>
  <si>
    <t xml:space="preserve">Total MRR</t>
  </si>
  <si>
    <t xml:space="preserve">Lost %</t>
  </si>
  <si>
    <t xml:space="preserve">Basic</t>
  </si>
  <si>
    <t xml:space="preserve">Pro</t>
  </si>
  <si>
    <t xml:space="preserve">Enterprise</t>
  </si>
  <si>
    <t xml:space="preserve">Customer segments (plan x contract)</t>
  </si>
  <si>
    <t xml:space="preserve">Segment</t>
  </si>
  <si>
    <t xml:space="preserve">Avg tenure (mo)</t>
  </si>
  <si>
    <t xml:space="preserve">Avg tickets</t>
  </si>
  <si>
    <t xml:space="preserve">MRR</t>
  </si>
  <si>
    <t xml:space="preserve">Basic | Month-to-Month</t>
  </si>
  <si>
    <t xml:space="preserve">Basic | One Year</t>
  </si>
  <si>
    <t xml:space="preserve">Pro | Month-to-Month</t>
  </si>
  <si>
    <t xml:space="preserve">Pro | One Year</t>
  </si>
  <si>
    <t xml:space="preserve">Enterprise | Two Year</t>
  </si>
  <si>
    <t xml:space="preserve">Only plan x contract combinations present in the data are listed.</t>
  </si>
  <si>
    <t xml:space="preserve">KPI definitions and notes</t>
  </si>
  <si>
    <t xml:space="preserve">Churn rate = churned customers / customers in view. Retention rate = 1 - churn rate.</t>
  </si>
  <si>
    <t xml:space="preserve">Revenue lost (MRR) = sum of MonthlyCharges for churned customers. Total MRR = sum of MonthlyCharges for all customers in view.</t>
  </si>
  <si>
    <t xml:space="preserve">Revenue at risk = MRR of still-active customers who match the churner profile from the analysis: Month-to-Month contract or 3+ support tickets.</t>
  </si>
  <si>
    <t xml:space="preserve">In this sample every customer matching that profile has already churned, so revenue at risk is $0. On a refreshed extract it will populate.</t>
  </si>
  <si>
    <t xml:space="preserve">Tenure KPIs = average TenureMonths (all, churned, retained). Tenure bands: 0-6, 7-12, 13-24, 25+ months.</t>
  </si>
  <si>
    <t xml:space="preserve">Colours: orange = churned, blue = retained (colour-blind safe); charts also carry numeric labels.</t>
  </si>
  <si>
    <t xml:space="preserve">Caution: n = 15. 0% and 100% rates come from very small groups and factors overlap, so treat patterns as descriptive, not causal.</t>
  </si>
  <si>
    <t xml:space="preserve">Source: customer_churn_sample.csv (edvyro.in), cleaned in Task 1 with no values changed. Yellow cells = user inputs (blue text).</t>
  </si>
  <si>
    <t xml:space="preserve">CustomerID</t>
  </si>
  <si>
    <t xml:space="preserve">Gender</t>
  </si>
  <si>
    <t xml:space="preserve">Age</t>
  </si>
  <si>
    <t xml:space="preserve">TenureMonths</t>
  </si>
  <si>
    <t xml:space="preserve">SubscriptionType</t>
  </si>
  <si>
    <t xml:space="preserve">MonthlyCharges</t>
  </si>
  <si>
    <t xml:space="preserve">TotalCharges</t>
  </si>
  <si>
    <t xml:space="preserve">ContractType</t>
  </si>
  <si>
    <t xml:space="preserve">SupportTickets</t>
  </si>
  <si>
    <t xml:space="preserve">PaymentMethod</t>
  </si>
  <si>
    <t xml:space="preserve">Churn</t>
  </si>
  <si>
    <t xml:space="preserve">TenureBand</t>
  </si>
  <si>
    <t xml:space="preserve">ChurnFlag</t>
  </si>
  <si>
    <t xml:space="preserve">InView</t>
  </si>
  <si>
    <t xml:space="preserve">AtRisk</t>
  </si>
  <si>
    <t xml:space="preserve">Columns L-O are formulas: tenure band, churn flag (1 = churned), InView (1 = row matches the Dashboard filters), AtRisk (1 = active customer on Month-to-Month or with 3+ tickets).</t>
  </si>
  <si>
    <t xml:space="preserve">CUST-1001</t>
  </si>
  <si>
    <t xml:space="preserve">Female</t>
  </si>
  <si>
    <t xml:space="preserve">Yes</t>
  </si>
  <si>
    <t xml:space="preserve">CUST-1002</t>
  </si>
  <si>
    <t xml:space="preserve">Male</t>
  </si>
  <si>
    <t xml:space="preserve">No</t>
  </si>
  <si>
    <t xml:space="preserve">CUST-1003</t>
  </si>
  <si>
    <t xml:space="preserve">CUST-1004</t>
  </si>
  <si>
    <t xml:space="preserve">CUST-1005</t>
  </si>
  <si>
    <t xml:space="preserve">CUST-1006</t>
  </si>
  <si>
    <t xml:space="preserve">CUST-1007</t>
  </si>
  <si>
    <t xml:space="preserve">CUST-1008</t>
  </si>
  <si>
    <t xml:space="preserve">CUST-1009</t>
  </si>
  <si>
    <t xml:space="preserve">CUST-1010</t>
  </si>
  <si>
    <t xml:space="preserve">CUST-1011</t>
  </si>
  <si>
    <t xml:space="preserve">CUST-1012</t>
  </si>
  <si>
    <t xml:space="preserve">CUST-1013</t>
  </si>
  <si>
    <t xml:space="preserve">CUST-1014</t>
  </si>
  <si>
    <t xml:space="preserve">CUST-1015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</si>
</sst>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\$#,##0.00"/>
    <numFmt numFmtId="168" formatCode="0.0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1"/>
      <color rgb="FF5B667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5B667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EEF3F8"/>
      </patternFill>
    </fill>
    <fill>
      <patternFill patternType="solid">
        <fgColor rgb="FFEEF3F8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78787"/>
      <rgbColor rgb="FF9999FF"/>
      <rgbColor rgb="FF993366"/>
      <rgbColor rgb="FFEEF3F8"/>
      <rgbColor rgb="FFCCFFFF"/>
      <rgbColor rgb="FF660066"/>
      <rgbColor rgb="FFFF8080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55E00"/>
      <rgbColor rgb="FF5B667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Dashboard!C24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d55e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Dashboard!$B$25:$B$27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Dashboard!$C$25:$C$27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Dashboard!D24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rgbClr val="0072b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Dashboard!$B$25:$B$27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Dashboard!$D$25:$D$27</c:f>
              <c:numCache>
                <c:formatCode>General</c:formatCode>
                <c:ptCount val="3"/>
                <c:pt idx="0">
                  <c:v>0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gapWidth val="150"/>
        <c:overlap val="100"/>
        <c:axId val="36225625"/>
        <c:axId val="47000030"/>
      </c:barChart>
      <c:catAx>
        <c:axId val="362256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00030"/>
        <c:crosses val="autoZero"/>
        <c:auto val="1"/>
        <c:lblAlgn val="ctr"/>
        <c:lblOffset val="100"/>
        <c:noMultiLvlLbl val="0"/>
      </c:catAx>
      <c:valAx>
        <c:axId val="47000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256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Dashboard!C39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d55e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Dashboard!$B$40:$B$43</c:f>
              <c:strCache>
                <c:ptCount val="4"/>
                <c:pt idx="0">
                  <c:v>0-6 mo</c:v>
                </c:pt>
                <c:pt idx="1">
                  <c:v>7-12 mo</c:v>
                </c:pt>
                <c:pt idx="2">
                  <c:v>13-24 mo</c:v>
                </c:pt>
                <c:pt idx="3">
                  <c:v>25+ mo</c:v>
                </c:pt>
              </c:strCache>
            </c:strRef>
          </c:cat>
          <c:val>
            <c:numRef>
              <c:f>Dashboard!$C$40:$C$43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Dashboard!D39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rgbClr val="0072b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Dashboard!$B$40:$B$43</c:f>
              <c:strCache>
                <c:ptCount val="4"/>
                <c:pt idx="0">
                  <c:v>0-6 mo</c:v>
                </c:pt>
                <c:pt idx="1">
                  <c:v>7-12 mo</c:v>
                </c:pt>
                <c:pt idx="2">
                  <c:v>13-24 mo</c:v>
                </c:pt>
                <c:pt idx="3">
                  <c:v>25+ mo</c:v>
                </c:pt>
              </c:strCache>
            </c:strRef>
          </c:cat>
          <c:val>
            <c:numRef>
              <c:f>Dashboard!$D$40:$D$43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</c:ser>
        <c:gapWidth val="150"/>
        <c:overlap val="100"/>
        <c:axId val="48263995"/>
        <c:axId val="86264326"/>
      </c:barChart>
      <c:catAx>
        <c:axId val="48263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64326"/>
        <c:crosses val="autoZero"/>
        <c:auto val="1"/>
        <c:lblAlgn val="ctr"/>
        <c:lblOffset val="100"/>
        <c:noMultiLvlLbl val="0"/>
      </c:catAx>
      <c:valAx>
        <c:axId val="86264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639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Dashboard!C54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d55e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Dashboard!$B$55:$B$58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Dashboard!$C$55:$C$58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Dashboard!D54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rgbClr val="0072b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Dashboard!$B$55:$B$58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Dashboard!$D$55:$D$58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gapWidth val="150"/>
        <c:overlap val="100"/>
        <c:axId val="29937646"/>
        <c:axId val="84277267"/>
      </c:barChart>
      <c:catAx>
        <c:axId val="29937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77267"/>
        <c:crosses val="autoZero"/>
        <c:auto val="1"/>
        <c:lblAlgn val="ctr"/>
        <c:lblOffset val="100"/>
        <c:noMultiLvlLbl val="0"/>
      </c:catAx>
      <c:valAx>
        <c:axId val="84277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376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Dashboard!C69</c:f>
              <c:strCache>
                <c:ptCount val="1"/>
                <c:pt idx="0">
                  <c:v>MRR lost</c:v>
                </c:pt>
              </c:strCache>
            </c:strRef>
          </c:tx>
          <c:spPr>
            <a:solidFill>
              <a:srgbClr val="d55e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Dashboard!$B$70:$B$72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Dashboard!$C$70:$C$72</c:f>
              <c:numCache>
                <c:formatCode>\$#,##0.00</c:formatCode>
                <c:ptCount val="3"/>
                <c:pt idx="0">
                  <c:v>249.95</c:v>
                </c:pt>
                <c:pt idx="1">
                  <c:v>159.98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Dashboard!D69</c:f>
              <c:strCache>
                <c:ptCount val="1"/>
                <c:pt idx="0">
                  <c:v>MRR retained</c:v>
                </c:pt>
              </c:strCache>
            </c:strRef>
          </c:tx>
          <c:spPr>
            <a:solidFill>
              <a:srgbClr val="0072b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Dashboard!$B$70:$B$72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Dashboard!$D$70:$D$72</c:f>
              <c:numCache>
                <c:formatCode>\$#,##0.00</c:formatCode>
                <c:ptCount val="3"/>
                <c:pt idx="0">
                  <c:v>99.98</c:v>
                </c:pt>
                <c:pt idx="1">
                  <c:v>159.98</c:v>
                </c:pt>
                <c:pt idx="2">
                  <c:v>599.96</c:v>
                </c:pt>
              </c:numCache>
            </c:numRef>
          </c:val>
        </c:ser>
        <c:gapWidth val="150"/>
        <c:overlap val="100"/>
        <c:axId val="78458132"/>
        <c:axId val="29269073"/>
      </c:barChart>
      <c:catAx>
        <c:axId val="78458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69073"/>
        <c:crosses val="autoZero"/>
        <c:auto val="1"/>
        <c:lblAlgn val="ctr"/>
        <c:lblOffset val="100"/>
        <c:noMultiLvlLbl val="0"/>
      </c:catAx>
      <c:valAx>
        <c:axId val="29269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581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21</xdr:row>
      <xdr:rowOff>101160</xdr:rowOff>
    </xdr:from>
    <xdr:to>
      <xdr:col>13</xdr:col>
      <xdr:colOff>465840</xdr:colOff>
      <xdr:row>33</xdr:row>
      <xdr:rowOff>46800</xdr:rowOff>
    </xdr:to>
    <xdr:graphicFrame>
      <xdr:nvGraphicFramePr>
        <xdr:cNvPr id="0" name="Chart 1"/>
        <xdr:cNvGraphicFramePr/>
      </xdr:nvGraphicFramePr>
      <xdr:xfrm>
        <a:off x="8246880" y="4191120"/>
        <a:ext cx="539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36</xdr:row>
      <xdr:rowOff>100800</xdr:rowOff>
    </xdr:from>
    <xdr:to>
      <xdr:col>13</xdr:col>
      <xdr:colOff>465840</xdr:colOff>
      <xdr:row>48</xdr:row>
      <xdr:rowOff>46440</xdr:rowOff>
    </xdr:to>
    <xdr:graphicFrame>
      <xdr:nvGraphicFramePr>
        <xdr:cNvPr id="1" name="Chart 2"/>
        <xdr:cNvGraphicFramePr/>
      </xdr:nvGraphicFramePr>
      <xdr:xfrm>
        <a:off x="8246880" y="7048440"/>
        <a:ext cx="539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51</xdr:row>
      <xdr:rowOff>101160</xdr:rowOff>
    </xdr:from>
    <xdr:to>
      <xdr:col>13</xdr:col>
      <xdr:colOff>465840</xdr:colOff>
      <xdr:row>63</xdr:row>
      <xdr:rowOff>46800</xdr:rowOff>
    </xdr:to>
    <xdr:graphicFrame>
      <xdr:nvGraphicFramePr>
        <xdr:cNvPr id="2" name="Chart 3"/>
        <xdr:cNvGraphicFramePr/>
      </xdr:nvGraphicFramePr>
      <xdr:xfrm>
        <a:off x="8246880" y="9906120"/>
        <a:ext cx="539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66</xdr:row>
      <xdr:rowOff>100800</xdr:rowOff>
    </xdr:from>
    <xdr:to>
      <xdr:col>13</xdr:col>
      <xdr:colOff>465840</xdr:colOff>
      <xdr:row>78</xdr:row>
      <xdr:rowOff>46440</xdr:rowOff>
    </xdr:to>
    <xdr:graphicFrame>
      <xdr:nvGraphicFramePr>
        <xdr:cNvPr id="3" name="Chart 4"/>
        <xdr:cNvGraphicFramePr/>
      </xdr:nvGraphicFramePr>
      <xdr:xfrm>
        <a:off x="8246880" y="12763440"/>
        <a:ext cx="539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7" min="4" style="0" width="16"/>
    <col collapsed="false" customWidth="true" hidden="false" outlineLevel="0" max="8" min="8" style="0" width="3"/>
    <col collapsed="false" customWidth="true" hidden="false" outlineLevel="0" max="17" min="9" style="0" width="14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  <c r="C4" s="5" t="s">
        <v>4</v>
      </c>
      <c r="D4" s="6" t="s">
        <v>5</v>
      </c>
    </row>
    <row r="5" customFormat="false" ht="15" hidden="false" customHeight="false" outlineLevel="0" collapsed="false">
      <c r="B5" s="4" t="s">
        <v>6</v>
      </c>
      <c r="C5" s="5" t="s">
        <v>4</v>
      </c>
    </row>
    <row r="6" customFormat="false" ht="15" hidden="false" customHeight="false" outlineLevel="0" collapsed="false">
      <c r="B6" s="4" t="s">
        <v>7</v>
      </c>
      <c r="C6" s="5" t="s">
        <v>4</v>
      </c>
      <c r="D6" s="4" t="str">
        <f aca="false">SUM(Data!$N$2:$N$16)&amp;" of 15 customers in view"</f>
        <v>15 of 15 customers in view</v>
      </c>
    </row>
    <row r="8" customFormat="false" ht="15" hidden="false" customHeight="false" outlineLevel="0" collapsed="false">
      <c r="B8" s="3" t="s">
        <v>8</v>
      </c>
    </row>
    <row r="10" customFormat="false" ht="15" hidden="false" customHeight="false" outlineLevel="0" collapsed="false">
      <c r="B10" s="7" t="s">
        <v>9</v>
      </c>
      <c r="C10" s="8" t="n">
        <f aca="false">SUM(Data!$N$2:$N$16)</f>
        <v>15</v>
      </c>
      <c r="D10" s="6"/>
    </row>
    <row r="11" customFormat="false" ht="15" hidden="false" customHeight="false" outlineLevel="0" collapsed="false">
      <c r="B11" s="7" t="s">
        <v>10</v>
      </c>
      <c r="C11" s="9" t="n">
        <f aca="false">IFERROR(C13/C10,0)</f>
        <v>0.466666666666667</v>
      </c>
      <c r="D11" s="6" t="s">
        <v>11</v>
      </c>
    </row>
    <row r="12" customFormat="false" ht="15" hidden="false" customHeight="false" outlineLevel="0" collapsed="false">
      <c r="B12" s="7" t="s">
        <v>12</v>
      </c>
      <c r="C12" s="9" t="n">
        <f aca="false">IF(C10=0,0,1-C11)</f>
        <v>0.533333333333333</v>
      </c>
      <c r="D12" s="6" t="s">
        <v>13</v>
      </c>
    </row>
    <row r="13" customFormat="false" ht="15" hidden="false" customHeight="false" outlineLevel="0" collapsed="false">
      <c r="B13" s="7" t="s">
        <v>14</v>
      </c>
      <c r="C13" s="8" t="n">
        <f aca="false">SUMPRODUCT(Data!$N$2:$N$16,Data!$M$2:$M$16)</f>
        <v>7</v>
      </c>
      <c r="D13" s="6"/>
    </row>
    <row r="14" customFormat="false" ht="15" hidden="false" customHeight="false" outlineLevel="0" collapsed="false">
      <c r="B14" s="7" t="s">
        <v>15</v>
      </c>
      <c r="C14" s="10" t="n">
        <f aca="false">SUMPRODUCT(Data!$N$2:$N$16,Data!$F$2:$F$16)</f>
        <v>1269.85</v>
      </c>
      <c r="D14" s="6" t="s">
        <v>16</v>
      </c>
    </row>
    <row r="15" customFormat="false" ht="15" hidden="false" customHeight="false" outlineLevel="0" collapsed="false">
      <c r="B15" s="7" t="s">
        <v>17</v>
      </c>
      <c r="C15" s="10" t="n">
        <f aca="false">SUMPRODUCT(Data!$N$2:$N$16,Data!$M$2:$M$16,Data!$F$2:$F$16)</f>
        <v>409.93</v>
      </c>
      <c r="D15" s="6" t="s">
        <v>18</v>
      </c>
    </row>
    <row r="16" customFormat="false" ht="15" hidden="false" customHeight="false" outlineLevel="0" collapsed="false">
      <c r="B16" s="7" t="s">
        <v>19</v>
      </c>
      <c r="C16" s="9" t="n">
        <f aca="false">IFERROR(C15/C14,0)</f>
        <v>0.322817655628618</v>
      </c>
      <c r="D16" s="6"/>
    </row>
    <row r="17" customFormat="false" ht="15" hidden="false" customHeight="false" outlineLevel="0" collapsed="false">
      <c r="B17" s="7" t="s">
        <v>20</v>
      </c>
      <c r="C17" s="10" t="n">
        <f aca="false">SUMPRODUCT(Data!$O$2:$O$16,Data!$F$2:$F$16)</f>
        <v>0</v>
      </c>
      <c r="D17" s="6" t="s">
        <v>21</v>
      </c>
    </row>
    <row r="18" customFormat="false" ht="15" hidden="false" customHeight="false" outlineLevel="0" collapsed="false">
      <c r="B18" s="7" t="s">
        <v>22</v>
      </c>
      <c r="C18" s="11" t="n">
        <f aca="false">IFERROR(SUMPRODUCT(Data!$N$2:$N$16,Data!$D$2:$D$16)/C10,0)</f>
        <v>18.8</v>
      </c>
      <c r="D18" s="6"/>
    </row>
    <row r="19" customFormat="false" ht="15" hidden="false" customHeight="false" outlineLevel="0" collapsed="false">
      <c r="B19" s="7" t="s">
        <v>23</v>
      </c>
      <c r="C19" s="11" t="n">
        <f aca="false">IFERROR(SUMPRODUCT(Data!$N$2:$N$16,Data!$M$2:$M$16,Data!$D$2:$D$16)/C13,0)</f>
        <v>7</v>
      </c>
      <c r="D19" s="6"/>
    </row>
    <row r="20" customFormat="false" ht="15" hidden="false" customHeight="false" outlineLevel="0" collapsed="false">
      <c r="B20" s="7" t="s">
        <v>24</v>
      </c>
      <c r="C20" s="11" t="n">
        <f aca="false">IFERROR(SUMPRODUCT(Data!$N$2:$N$16,1-Data!$M$2:$M$16,Data!$D$2:$D$16)/(C10-C13),0)</f>
        <v>29.125</v>
      </c>
      <c r="D20" s="6"/>
    </row>
    <row r="23" customFormat="false" ht="15" hidden="false" customHeight="false" outlineLevel="0" collapsed="false">
      <c r="B23" s="12" t="s">
        <v>25</v>
      </c>
    </row>
    <row r="24" customFormat="false" ht="15" hidden="false" customHeight="false" outlineLevel="0" collapsed="false">
      <c r="B24" s="13" t="s">
        <v>26</v>
      </c>
      <c r="C24" s="13" t="s">
        <v>27</v>
      </c>
      <c r="D24" s="13" t="s">
        <v>28</v>
      </c>
      <c r="E24" s="13" t="s">
        <v>29</v>
      </c>
      <c r="F24" s="13" t="s">
        <v>10</v>
      </c>
    </row>
    <row r="25" customFormat="false" ht="15" hidden="false" customHeight="false" outlineLevel="0" collapsed="false">
      <c r="B25" s="14" t="s">
        <v>30</v>
      </c>
      <c r="C25" s="14" t="n">
        <f aca="false">SUMPRODUCT(Data!$N$2:$N$16*Data!$M$2:$M$16*(Data!$H$2:$H$16=$B25))</f>
        <v>7</v>
      </c>
      <c r="D25" s="14" t="n">
        <f aca="false">E25-C25</f>
        <v>0</v>
      </c>
      <c r="E25" s="14" t="n">
        <f aca="false">SUMPRODUCT(Data!$N$2:$N$16*(Data!$H$2:$H$16=$B25))</f>
        <v>7</v>
      </c>
      <c r="F25" s="15" t="n">
        <f aca="false">IFERROR(C25/E25,0)</f>
        <v>1</v>
      </c>
    </row>
    <row r="26" customFormat="false" ht="15" hidden="false" customHeight="false" outlineLevel="0" collapsed="false">
      <c r="B26" s="14" t="s">
        <v>31</v>
      </c>
      <c r="C26" s="14" t="n">
        <f aca="false">SUMPRODUCT(Data!$N$2:$N$16*Data!$M$2:$M$16*(Data!$H$2:$H$16=$B26))</f>
        <v>0</v>
      </c>
      <c r="D26" s="14" t="n">
        <f aca="false">E26-C26</f>
        <v>4</v>
      </c>
      <c r="E26" s="14" t="n">
        <f aca="false">SUMPRODUCT(Data!$N$2:$N$16*(Data!$H$2:$H$16=$B26))</f>
        <v>4</v>
      </c>
      <c r="F26" s="15" t="n">
        <f aca="false">IFERROR(C26/E26,0)</f>
        <v>0</v>
      </c>
    </row>
    <row r="27" customFormat="false" ht="15" hidden="false" customHeight="false" outlineLevel="0" collapsed="false">
      <c r="B27" s="14" t="s">
        <v>32</v>
      </c>
      <c r="C27" s="14" t="n">
        <f aca="false">SUMPRODUCT(Data!$N$2:$N$16*Data!$M$2:$M$16*(Data!$H$2:$H$16=$B27))</f>
        <v>0</v>
      </c>
      <c r="D27" s="14" t="n">
        <f aca="false">E27-C27</f>
        <v>4</v>
      </c>
      <c r="E27" s="14" t="n">
        <f aca="false">SUMPRODUCT(Data!$N$2:$N$16*(Data!$H$2:$H$16=$B27))</f>
        <v>4</v>
      </c>
      <c r="F27" s="15" t="n">
        <f aca="false">IFERROR(C27/E27,0)</f>
        <v>0</v>
      </c>
    </row>
    <row r="38" customFormat="false" ht="15" hidden="false" customHeight="false" outlineLevel="0" collapsed="false">
      <c r="B38" s="12" t="s">
        <v>33</v>
      </c>
    </row>
    <row r="39" customFormat="false" ht="15" hidden="false" customHeight="false" outlineLevel="0" collapsed="false">
      <c r="B39" s="13" t="s">
        <v>6</v>
      </c>
      <c r="C39" s="13" t="s">
        <v>27</v>
      </c>
      <c r="D39" s="13" t="s">
        <v>28</v>
      </c>
      <c r="E39" s="13" t="s">
        <v>29</v>
      </c>
      <c r="F39" s="13" t="s">
        <v>10</v>
      </c>
    </row>
    <row r="40" customFormat="false" ht="15" hidden="false" customHeight="false" outlineLevel="0" collapsed="false">
      <c r="B40" s="14" t="s">
        <v>34</v>
      </c>
      <c r="C40" s="14" t="n">
        <f aca="false">SUMPRODUCT(Data!$N$2:$N$16*Data!$M$2:$M$16*(Data!$L$2:$L$16=$B40))</f>
        <v>4</v>
      </c>
      <c r="D40" s="14" t="n">
        <f aca="false">E40-C40</f>
        <v>0</v>
      </c>
      <c r="E40" s="14" t="n">
        <f aca="false">SUMPRODUCT(Data!$N$2:$N$16*(Data!$L$2:$L$16=$B40))</f>
        <v>4</v>
      </c>
      <c r="F40" s="15" t="n">
        <f aca="false">IFERROR(C40/E40,0)</f>
        <v>1</v>
      </c>
    </row>
    <row r="41" customFormat="false" ht="15" hidden="false" customHeight="false" outlineLevel="0" collapsed="false">
      <c r="B41" s="14" t="s">
        <v>35</v>
      </c>
      <c r="C41" s="14" t="n">
        <f aca="false">SUMPRODUCT(Data!$N$2:$N$16*Data!$M$2:$M$16*(Data!$L$2:$L$16=$B41))</f>
        <v>2</v>
      </c>
      <c r="D41" s="14" t="n">
        <f aca="false">E41-C41</f>
        <v>0</v>
      </c>
      <c r="E41" s="14" t="n">
        <f aca="false">SUMPRODUCT(Data!$N$2:$N$16*(Data!$L$2:$L$16=$B41))</f>
        <v>2</v>
      </c>
      <c r="F41" s="15" t="n">
        <f aca="false">IFERROR(C41/E41,0)</f>
        <v>1</v>
      </c>
    </row>
    <row r="42" customFormat="false" ht="15" hidden="false" customHeight="false" outlineLevel="0" collapsed="false">
      <c r="B42" s="14" t="s">
        <v>36</v>
      </c>
      <c r="C42" s="14" t="n">
        <f aca="false">SUMPRODUCT(Data!$N$2:$N$16*Data!$M$2:$M$16*(Data!$L$2:$L$16=$B42))</f>
        <v>1</v>
      </c>
      <c r="D42" s="14" t="n">
        <f aca="false">E42-C42</f>
        <v>4</v>
      </c>
      <c r="E42" s="14" t="n">
        <f aca="false">SUMPRODUCT(Data!$N$2:$N$16*(Data!$L$2:$L$16=$B42))</f>
        <v>5</v>
      </c>
      <c r="F42" s="15" t="n">
        <f aca="false">IFERROR(C42/E42,0)</f>
        <v>0.2</v>
      </c>
    </row>
    <row r="43" customFormat="false" ht="15" hidden="false" customHeight="false" outlineLevel="0" collapsed="false">
      <c r="B43" s="14" t="s">
        <v>37</v>
      </c>
      <c r="C43" s="14" t="n">
        <f aca="false">SUMPRODUCT(Data!$N$2:$N$16*Data!$M$2:$M$16*(Data!$L$2:$L$16=$B43))</f>
        <v>0</v>
      </c>
      <c r="D43" s="14" t="n">
        <f aca="false">E43-C43</f>
        <v>4</v>
      </c>
      <c r="E43" s="14" t="n">
        <f aca="false">SUMPRODUCT(Data!$N$2:$N$16*(Data!$L$2:$L$16=$B43))</f>
        <v>4</v>
      </c>
      <c r="F43" s="15" t="n">
        <f aca="false">IFERROR(C43/E43,0)</f>
        <v>0</v>
      </c>
    </row>
    <row r="53" customFormat="false" ht="15" hidden="false" customHeight="false" outlineLevel="0" collapsed="false">
      <c r="B53" s="12" t="s">
        <v>38</v>
      </c>
    </row>
    <row r="54" customFormat="false" ht="15" hidden="false" customHeight="false" outlineLevel="0" collapsed="false">
      <c r="B54" s="13" t="s">
        <v>39</v>
      </c>
      <c r="C54" s="13" t="s">
        <v>27</v>
      </c>
      <c r="D54" s="13" t="s">
        <v>28</v>
      </c>
      <c r="E54" s="13" t="s">
        <v>29</v>
      </c>
      <c r="F54" s="13" t="s">
        <v>10</v>
      </c>
    </row>
    <row r="55" customFormat="false" ht="15" hidden="false" customHeight="false" outlineLevel="0" collapsed="false">
      <c r="B55" s="14" t="s">
        <v>40</v>
      </c>
      <c r="C55" s="14" t="n">
        <f aca="false">SUMPRODUCT(Data!$N$2:$N$16*Data!$M$2:$M$16*(Data!$J$2:$J$16=$B55))</f>
        <v>0</v>
      </c>
      <c r="D55" s="14" t="n">
        <f aca="false">E55-C55</f>
        <v>3</v>
      </c>
      <c r="E55" s="14" t="n">
        <f aca="false">SUMPRODUCT(Data!$N$2:$N$16*(Data!$J$2:$J$16=$B55))</f>
        <v>3</v>
      </c>
      <c r="F55" s="15" t="n">
        <f aca="false">IFERROR(C55/E55,0)</f>
        <v>0</v>
      </c>
    </row>
    <row r="56" customFormat="false" ht="15" hidden="false" customHeight="false" outlineLevel="0" collapsed="false">
      <c r="B56" s="14" t="s">
        <v>41</v>
      </c>
      <c r="C56" s="14" t="n">
        <f aca="false">SUMPRODUCT(Data!$N$2:$N$16*Data!$M$2:$M$16*(Data!$J$2:$J$16=$B56))</f>
        <v>2</v>
      </c>
      <c r="D56" s="14" t="n">
        <f aca="false">E56-C56</f>
        <v>4</v>
      </c>
      <c r="E56" s="14" t="n">
        <f aca="false">SUMPRODUCT(Data!$N$2:$N$16*(Data!$J$2:$J$16=$B56))</f>
        <v>6</v>
      </c>
      <c r="F56" s="15" t="n">
        <f aca="false">IFERROR(C56/E56,0)</f>
        <v>0.333333333333333</v>
      </c>
    </row>
    <row r="57" customFormat="false" ht="15" hidden="false" customHeight="false" outlineLevel="0" collapsed="false">
      <c r="B57" s="14" t="s">
        <v>42</v>
      </c>
      <c r="C57" s="14" t="n">
        <f aca="false">SUMPRODUCT(Data!$N$2:$N$16*Data!$M$2:$M$16*(Data!$J$2:$J$16=$B57))</f>
        <v>2</v>
      </c>
      <c r="D57" s="14" t="n">
        <f aca="false">E57-C57</f>
        <v>0</v>
      </c>
      <c r="E57" s="14" t="n">
        <f aca="false">SUMPRODUCT(Data!$N$2:$N$16*(Data!$J$2:$J$16=$B57))</f>
        <v>2</v>
      </c>
      <c r="F57" s="15" t="n">
        <f aca="false">IFERROR(C57/E57,0)</f>
        <v>1</v>
      </c>
    </row>
    <row r="58" customFormat="false" ht="15" hidden="false" customHeight="false" outlineLevel="0" collapsed="false">
      <c r="B58" s="14" t="s">
        <v>43</v>
      </c>
      <c r="C58" s="14" t="n">
        <f aca="false">SUMPRODUCT(Data!$N$2:$N$16*Data!$M$2:$M$16*(Data!$J$2:$J$16=$B58))</f>
        <v>3</v>
      </c>
      <c r="D58" s="14" t="n">
        <f aca="false">E58-C58</f>
        <v>1</v>
      </c>
      <c r="E58" s="14" t="n">
        <f aca="false">SUMPRODUCT(Data!$N$2:$N$16*(Data!$J$2:$J$16=$B58))</f>
        <v>4</v>
      </c>
      <c r="F58" s="15" t="n">
        <f aca="false">IFERROR(C58/E58,0)</f>
        <v>0.75</v>
      </c>
    </row>
    <row r="68" customFormat="false" ht="15" hidden="false" customHeight="false" outlineLevel="0" collapsed="false">
      <c r="B68" s="12" t="s">
        <v>44</v>
      </c>
    </row>
    <row r="69" customFormat="false" ht="15" hidden="false" customHeight="false" outlineLevel="0" collapsed="false">
      <c r="B69" s="13" t="s">
        <v>45</v>
      </c>
      <c r="C69" s="13" t="s">
        <v>46</v>
      </c>
      <c r="D69" s="13" t="s">
        <v>47</v>
      </c>
      <c r="E69" s="13" t="s">
        <v>48</v>
      </c>
      <c r="F69" s="13" t="s">
        <v>49</v>
      </c>
    </row>
    <row r="70" customFormat="false" ht="15" hidden="false" customHeight="false" outlineLevel="0" collapsed="false">
      <c r="B70" s="14" t="s">
        <v>50</v>
      </c>
      <c r="C70" s="16" t="n">
        <f aca="false">SUMPRODUCT(Data!$N$2:$N$16*Data!$M$2:$M$16*Data!$F$2:$F$16*(Data!$E$2:$E$16=$B70))</f>
        <v>249.95</v>
      </c>
      <c r="D70" s="16" t="n">
        <f aca="false">E70-C70</f>
        <v>99.98</v>
      </c>
      <c r="E70" s="16" t="n">
        <f aca="false">SUMPRODUCT(Data!$N$2:$N$16*Data!$F$2:$F$16*(Data!$E$2:$E$16=$B70))</f>
        <v>349.93</v>
      </c>
      <c r="F70" s="15" t="n">
        <f aca="false">IFERROR(C70/E70,0)</f>
        <v>0.714285714285714</v>
      </c>
    </row>
    <row r="71" customFormat="false" ht="15" hidden="false" customHeight="false" outlineLevel="0" collapsed="false">
      <c r="B71" s="14" t="s">
        <v>51</v>
      </c>
      <c r="C71" s="16" t="n">
        <f aca="false">SUMPRODUCT(Data!$N$2:$N$16*Data!$M$2:$M$16*Data!$F$2:$F$16*(Data!$E$2:$E$16=$B71))</f>
        <v>159.98</v>
      </c>
      <c r="D71" s="16" t="n">
        <f aca="false">E71-C71</f>
        <v>159.98</v>
      </c>
      <c r="E71" s="16" t="n">
        <f aca="false">SUMPRODUCT(Data!$N$2:$N$16*Data!$F$2:$F$16*(Data!$E$2:$E$16=$B71))</f>
        <v>319.96</v>
      </c>
      <c r="F71" s="15" t="n">
        <f aca="false">IFERROR(C71/E71,0)</f>
        <v>0.5</v>
      </c>
    </row>
    <row r="72" customFormat="false" ht="15" hidden="false" customHeight="false" outlineLevel="0" collapsed="false">
      <c r="B72" s="14" t="s">
        <v>52</v>
      </c>
      <c r="C72" s="16" t="n">
        <f aca="false">SUMPRODUCT(Data!$N$2:$N$16*Data!$M$2:$M$16*Data!$F$2:$F$16*(Data!$E$2:$E$16=$B72))</f>
        <v>0</v>
      </c>
      <c r="D72" s="16" t="n">
        <f aca="false">E72-C72</f>
        <v>599.96</v>
      </c>
      <c r="E72" s="16" t="n">
        <f aca="false">SUMPRODUCT(Data!$N$2:$N$16*Data!$F$2:$F$16*(Data!$E$2:$E$16=$B72))</f>
        <v>599.96</v>
      </c>
      <c r="F72" s="15" t="n">
        <f aca="false">IFERROR(C72/E72,0)</f>
        <v>0</v>
      </c>
    </row>
    <row r="83" customFormat="false" ht="15" hidden="false" customHeight="false" outlineLevel="0" collapsed="false">
      <c r="B83" s="12" t="s">
        <v>53</v>
      </c>
    </row>
    <row r="84" customFormat="false" ht="15" hidden="false" customHeight="false" outlineLevel="0" collapsed="false">
      <c r="B84" s="13" t="s">
        <v>54</v>
      </c>
      <c r="C84" s="13" t="s">
        <v>29</v>
      </c>
      <c r="D84" s="13" t="s">
        <v>10</v>
      </c>
      <c r="E84" s="13" t="s">
        <v>55</v>
      </c>
      <c r="F84" s="13" t="s">
        <v>56</v>
      </c>
      <c r="G84" s="13" t="s">
        <v>57</v>
      </c>
    </row>
    <row r="85" customFormat="false" ht="15" hidden="false" customHeight="false" outlineLevel="0" collapsed="false">
      <c r="B85" s="14" t="s">
        <v>58</v>
      </c>
      <c r="C85" s="14" t="n">
        <f aca="false">SUMPRODUCT(Data!$N$2:$N$16*(Data!$E$2:$E$16="Basic")*(Data!$H$2:$H$16="Month-to-Month"))</f>
        <v>5</v>
      </c>
      <c r="D85" s="15" t="n">
        <f aca="false">IFERROR(SUMPRODUCT(Data!$N$2:$N$16*(Data!$E$2:$E$16="Basic")*(Data!$H$2:$H$16="Month-to-Month")*Data!$M$2:$M$16)/C85,0)</f>
        <v>1</v>
      </c>
      <c r="E85" s="17" t="n">
        <f aca="false">IFERROR(SUMPRODUCT(Data!$N$2:$N$16*(Data!$E$2:$E$16="Basic")*(Data!$H$2:$H$16="Month-to-Month")*Data!$D$2:$D$16)/C85,0)</f>
        <v>5.4</v>
      </c>
      <c r="F85" s="17" t="n">
        <f aca="false">IFERROR(SUMPRODUCT(Data!$N$2:$N$16*(Data!$E$2:$E$16="Basic")*(Data!$H$2:$H$16="Month-to-Month")*Data!$I$2:$I$16)/C85,0)</f>
        <v>4.6</v>
      </c>
      <c r="G85" s="16" t="n">
        <f aca="false">SUMPRODUCT(Data!$N$2:$N$16*(Data!$E$2:$E$16="Basic")*(Data!$H$2:$H$16="Month-to-Month")*Data!$F$2:$F$16)</f>
        <v>249.95</v>
      </c>
    </row>
    <row r="86" customFormat="false" ht="15" hidden="false" customHeight="false" outlineLevel="0" collapsed="false">
      <c r="B86" s="14" t="s">
        <v>59</v>
      </c>
      <c r="C86" s="14" t="n">
        <f aca="false">SUMPRODUCT(Data!$N$2:$N$16*(Data!$E$2:$E$16="Basic")*(Data!$H$2:$H$16="One Year"))</f>
        <v>2</v>
      </c>
      <c r="D86" s="15" t="n">
        <f aca="false">IFERROR(SUMPRODUCT(Data!$N$2:$N$16*(Data!$E$2:$E$16="Basic")*(Data!$H$2:$H$16="One Year")*Data!$M$2:$M$16)/C86,0)</f>
        <v>0</v>
      </c>
      <c r="E86" s="17" t="n">
        <f aca="false">IFERROR(SUMPRODUCT(Data!$N$2:$N$16*(Data!$E$2:$E$16="Basic")*(Data!$H$2:$H$16="One Year")*Data!$D$2:$D$16)/C86,0)</f>
        <v>20</v>
      </c>
      <c r="F86" s="17" t="n">
        <f aca="false">IFERROR(SUMPRODUCT(Data!$N$2:$N$16*(Data!$E$2:$E$16="Basic")*(Data!$H$2:$H$16="One Year")*Data!$I$2:$I$16)/C86,0)</f>
        <v>1.5</v>
      </c>
      <c r="G86" s="16" t="n">
        <f aca="false">SUMPRODUCT(Data!$N$2:$N$16*(Data!$E$2:$E$16="Basic")*(Data!$H$2:$H$16="One Year")*Data!$F$2:$F$16)</f>
        <v>99.98</v>
      </c>
    </row>
    <row r="87" customFormat="false" ht="15" hidden="false" customHeight="false" outlineLevel="0" collapsed="false">
      <c r="B87" s="14" t="s">
        <v>60</v>
      </c>
      <c r="C87" s="14" t="n">
        <f aca="false">SUMPRODUCT(Data!$N$2:$N$16*(Data!$E$2:$E$16="Pro")*(Data!$H$2:$H$16="Month-to-Month"))</f>
        <v>2</v>
      </c>
      <c r="D87" s="15" t="n">
        <f aca="false">IFERROR(SUMPRODUCT(Data!$N$2:$N$16*(Data!$E$2:$E$16="Pro")*(Data!$H$2:$H$16="Month-to-Month")*Data!$M$2:$M$16)/C87,0)</f>
        <v>1</v>
      </c>
      <c r="E87" s="17" t="n">
        <f aca="false">IFERROR(SUMPRODUCT(Data!$N$2:$N$16*(Data!$E$2:$E$16="Pro")*(Data!$H$2:$H$16="Month-to-Month")*Data!$D$2:$D$16)/C87,0)</f>
        <v>11</v>
      </c>
      <c r="F87" s="17" t="n">
        <f aca="false">IFERROR(SUMPRODUCT(Data!$N$2:$N$16*(Data!$E$2:$E$16="Pro")*(Data!$H$2:$H$16="Month-to-Month")*Data!$I$2:$I$16)/C87,0)</f>
        <v>3.5</v>
      </c>
      <c r="G87" s="16" t="n">
        <f aca="false">SUMPRODUCT(Data!$N$2:$N$16*(Data!$E$2:$E$16="Pro")*(Data!$H$2:$H$16="Month-to-Month")*Data!$F$2:$F$16)</f>
        <v>159.98</v>
      </c>
    </row>
    <row r="88" customFormat="false" ht="15" hidden="false" customHeight="false" outlineLevel="0" collapsed="false">
      <c r="B88" s="14" t="s">
        <v>61</v>
      </c>
      <c r="C88" s="14" t="n">
        <f aca="false">SUMPRODUCT(Data!$N$2:$N$16*(Data!$E$2:$E$16="Pro")*(Data!$H$2:$H$16="One Year"))</f>
        <v>2</v>
      </c>
      <c r="D88" s="15" t="n">
        <f aca="false">IFERROR(SUMPRODUCT(Data!$N$2:$N$16*(Data!$E$2:$E$16="Pro")*(Data!$H$2:$H$16="One Year")*Data!$M$2:$M$16)/C88,0)</f>
        <v>0</v>
      </c>
      <c r="E88" s="17" t="n">
        <f aca="false">IFERROR(SUMPRODUCT(Data!$N$2:$N$16*(Data!$E$2:$E$16="Pro")*(Data!$H$2:$H$16="One Year")*Data!$D$2:$D$16)/C88,0)</f>
        <v>19.5</v>
      </c>
      <c r="F88" s="17" t="n">
        <f aca="false">IFERROR(SUMPRODUCT(Data!$N$2:$N$16*(Data!$E$2:$E$16="Pro")*(Data!$H$2:$H$16="One Year")*Data!$I$2:$I$16)/C88,0)</f>
        <v>1.5</v>
      </c>
      <c r="G88" s="16" t="n">
        <f aca="false">SUMPRODUCT(Data!$N$2:$N$16*(Data!$E$2:$E$16="Pro")*(Data!$H$2:$H$16="One Year")*Data!$F$2:$F$16)</f>
        <v>159.98</v>
      </c>
    </row>
    <row r="89" customFormat="false" ht="15" hidden="false" customHeight="false" outlineLevel="0" collapsed="false">
      <c r="B89" s="14" t="s">
        <v>62</v>
      </c>
      <c r="C89" s="14" t="n">
        <f aca="false">SUMPRODUCT(Data!$N$2:$N$16*(Data!$E$2:$E$16="Enterprise")*(Data!$H$2:$H$16="Two Year"))</f>
        <v>4</v>
      </c>
      <c r="D89" s="15" t="n">
        <f aca="false">IFERROR(SUMPRODUCT(Data!$N$2:$N$16*(Data!$E$2:$E$16="Enterprise")*(Data!$H$2:$H$16="Two Year")*Data!$M$2:$M$16)/C89,0)</f>
        <v>0</v>
      </c>
      <c r="E89" s="17" t="n">
        <f aca="false">IFERROR(SUMPRODUCT(Data!$N$2:$N$16*(Data!$E$2:$E$16="Enterprise")*(Data!$H$2:$H$16="Two Year")*Data!$D$2:$D$16)/C89,0)</f>
        <v>38.5</v>
      </c>
      <c r="F89" s="17" t="n">
        <f aca="false">IFERROR(SUMPRODUCT(Data!$N$2:$N$16*(Data!$E$2:$E$16="Enterprise")*(Data!$H$2:$H$16="Two Year")*Data!$I$2:$I$16)/C89,0)</f>
        <v>0.5</v>
      </c>
      <c r="G89" s="16" t="n">
        <f aca="false">SUMPRODUCT(Data!$N$2:$N$16*(Data!$E$2:$E$16="Enterprise")*(Data!$H$2:$H$16="Two Year")*Data!$F$2:$F$16)</f>
        <v>599.96</v>
      </c>
    </row>
    <row r="91" customFormat="false" ht="15" hidden="false" customHeight="false" outlineLevel="0" collapsed="false">
      <c r="B91" s="6" t="s">
        <v>63</v>
      </c>
    </row>
    <row r="94" customFormat="false" ht="15" hidden="false" customHeight="false" outlineLevel="0" collapsed="false">
      <c r="B94" s="12" t="s">
        <v>64</v>
      </c>
    </row>
    <row r="95" customFormat="false" ht="15" hidden="false" customHeight="false" outlineLevel="0" collapsed="false">
      <c r="B95" s="18" t="s">
        <v>65</v>
      </c>
    </row>
    <row r="96" customFormat="false" ht="15" hidden="false" customHeight="false" outlineLevel="0" collapsed="false">
      <c r="B96" s="18" t="s">
        <v>66</v>
      </c>
    </row>
    <row r="97" customFormat="false" ht="15" hidden="false" customHeight="false" outlineLevel="0" collapsed="false">
      <c r="B97" s="18" t="s">
        <v>67</v>
      </c>
    </row>
    <row r="98" customFormat="false" ht="15" hidden="false" customHeight="false" outlineLevel="0" collapsed="false">
      <c r="B98" s="18" t="s">
        <v>68</v>
      </c>
    </row>
    <row r="99" customFormat="false" ht="15" hidden="false" customHeight="false" outlineLevel="0" collapsed="false">
      <c r="B99" s="18" t="s">
        <v>69</v>
      </c>
    </row>
    <row r="100" customFormat="false" ht="15" hidden="false" customHeight="false" outlineLevel="0" collapsed="false">
      <c r="B100" s="18" t="s">
        <v>70</v>
      </c>
    </row>
    <row r="101" customFormat="false" ht="15" hidden="false" customHeight="false" outlineLevel="0" collapsed="false">
      <c r="B101" s="18" t="s">
        <v>71</v>
      </c>
    </row>
    <row r="102" customFormat="false" ht="15" hidden="false" customHeight="false" outlineLevel="0" collapsed="false">
      <c r="B102" s="18" t="s">
        <v>72</v>
      </c>
    </row>
  </sheetData>
  <dataValidations count="3">
    <dataValidation allowBlank="false" errorStyle="stop" operator="between" showDropDown="false" showErrorMessage="false" showInputMessage="false" sqref="C4" type="list">
      <formula1>"All,Month-to-Month,One Year,Two Year"</formula1>
      <formula2>0</formula2>
    </dataValidation>
    <dataValidation allowBlank="false" errorStyle="stop" operator="between" showDropDown="false" showErrorMessage="false" showInputMessage="false" sqref="C5" type="list">
      <formula1>"All,0-6 mo,7-12 mo,13-24 mo,25+ mo"</formula1>
      <formula2>0</formula2>
    </dataValidation>
    <dataValidation allowBlank="false" errorStyle="stop" operator="between" showDropDown="false" showErrorMessage="false" showInputMessage="false" sqref="C6" type="list">
      <formula1>"All,Bank Transfer,Credit Card,Debit Card,UPI"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8"/>
  </cols>
  <sheetData>
    <row r="1" customFormat="false" ht="15" hidden="false" customHeight="false" outlineLevel="0" collapsed="false">
      <c r="A1" s="19" t="s">
        <v>73</v>
      </c>
      <c r="B1" s="19" t="s">
        <v>74</v>
      </c>
      <c r="C1" s="19" t="s">
        <v>75</v>
      </c>
      <c r="D1" s="19" t="s">
        <v>76</v>
      </c>
      <c r="E1" s="19" t="s">
        <v>77</v>
      </c>
      <c r="F1" s="19" t="s">
        <v>78</v>
      </c>
      <c r="G1" s="19" t="s">
        <v>79</v>
      </c>
      <c r="H1" s="19" t="s">
        <v>80</v>
      </c>
      <c r="I1" s="19" t="s">
        <v>81</v>
      </c>
      <c r="J1" s="19" t="s">
        <v>82</v>
      </c>
      <c r="K1" s="19" t="s">
        <v>83</v>
      </c>
      <c r="L1" s="19" t="s">
        <v>84</v>
      </c>
      <c r="M1" s="19" t="s">
        <v>85</v>
      </c>
      <c r="N1" s="19" t="s">
        <v>86</v>
      </c>
      <c r="O1" s="19" t="s">
        <v>87</v>
      </c>
      <c r="Q1" s="6" t="s">
        <v>88</v>
      </c>
    </row>
    <row r="2" customFormat="false" ht="15" hidden="false" customHeight="false" outlineLevel="0" collapsed="false">
      <c r="A2" s="18" t="s">
        <v>89</v>
      </c>
      <c r="B2" s="18" t="s">
        <v>90</v>
      </c>
      <c r="C2" s="18" t="n">
        <v>34</v>
      </c>
      <c r="D2" s="18" t="n">
        <v>12</v>
      </c>
      <c r="E2" s="18" t="s">
        <v>50</v>
      </c>
      <c r="F2" s="20" t="n">
        <v>49.99</v>
      </c>
      <c r="G2" s="20" t="n">
        <v>599.88</v>
      </c>
      <c r="H2" s="18" t="s">
        <v>30</v>
      </c>
      <c r="I2" s="18" t="n">
        <v>3</v>
      </c>
      <c r="J2" s="18" t="s">
        <v>41</v>
      </c>
      <c r="K2" s="18" t="s">
        <v>91</v>
      </c>
      <c r="L2" s="18" t="str">
        <f aca="false">IF(D2&lt;=6,"0-6 mo",IF(D2&lt;=12,"7-12 mo",IF(D2&lt;=24,"13-24 mo","25+ mo")))</f>
        <v>7-12 mo</v>
      </c>
      <c r="M2" s="18" t="n">
        <f aca="false">IF(K2="Yes",1,0)</f>
        <v>1</v>
      </c>
      <c r="N2" s="18" t="n">
        <f aca="false">IF(AND(OR(Dashboard!$C$4="All",H2=Dashboard!$C$4),OR(Dashboard!$C$5="All",L2=Dashboard!$C$5),OR(Dashboard!$C$6="All",J2=Dashboard!$C$6)),1,0)</f>
        <v>1</v>
      </c>
      <c r="O2" s="18" t="n">
        <f aca="false">IF(AND(N2=1,M2=0,OR(H2="Month-to-Month",I2&gt;=3)),1,0)</f>
        <v>0</v>
      </c>
    </row>
    <row r="3" customFormat="false" ht="15" hidden="false" customHeight="false" outlineLevel="0" collapsed="false">
      <c r="A3" s="18" t="s">
        <v>92</v>
      </c>
      <c r="B3" s="18" t="s">
        <v>93</v>
      </c>
      <c r="C3" s="18" t="n">
        <v>45</v>
      </c>
      <c r="D3" s="18" t="n">
        <v>24</v>
      </c>
      <c r="E3" s="18" t="s">
        <v>51</v>
      </c>
      <c r="F3" s="20" t="n">
        <v>79.99</v>
      </c>
      <c r="G3" s="20" t="n">
        <v>1919.76</v>
      </c>
      <c r="H3" s="18" t="s">
        <v>31</v>
      </c>
      <c r="I3" s="18" t="n">
        <v>1</v>
      </c>
      <c r="J3" s="18" t="s">
        <v>40</v>
      </c>
      <c r="K3" s="18" t="s">
        <v>94</v>
      </c>
      <c r="L3" s="18" t="str">
        <f aca="false">IF(D3&lt;=6,"0-6 mo",IF(D3&lt;=12,"7-12 mo",IF(D3&lt;=24,"13-24 mo","25+ mo")))</f>
        <v>13-24 mo</v>
      </c>
      <c r="M3" s="18" t="n">
        <f aca="false">IF(K3="Yes",1,0)</f>
        <v>0</v>
      </c>
      <c r="N3" s="18" t="n">
        <f aca="false">IF(AND(OR(Dashboard!$C$4="All",H3=Dashboard!$C$4),OR(Dashboard!$C$5="All",L3=Dashboard!$C$5),OR(Dashboard!$C$6="All",J3=Dashboard!$C$6)),1,0)</f>
        <v>1</v>
      </c>
      <c r="O3" s="18" t="n">
        <f aca="false">IF(AND(N3=1,M3=0,OR(H3="Month-to-Month",I3&gt;=3)),1,0)</f>
        <v>0</v>
      </c>
    </row>
    <row r="4" customFormat="false" ht="15" hidden="false" customHeight="false" outlineLevel="0" collapsed="false">
      <c r="A4" s="18" t="s">
        <v>95</v>
      </c>
      <c r="B4" s="18" t="s">
        <v>90</v>
      </c>
      <c r="C4" s="18" t="n">
        <v>29</v>
      </c>
      <c r="D4" s="18" t="n">
        <v>6</v>
      </c>
      <c r="E4" s="18" t="s">
        <v>50</v>
      </c>
      <c r="F4" s="20" t="n">
        <v>49.99</v>
      </c>
      <c r="G4" s="20" t="n">
        <v>299.94</v>
      </c>
      <c r="H4" s="18" t="s">
        <v>30</v>
      </c>
      <c r="I4" s="18" t="n">
        <v>5</v>
      </c>
      <c r="J4" s="18" t="s">
        <v>43</v>
      </c>
      <c r="K4" s="18" t="s">
        <v>91</v>
      </c>
      <c r="L4" s="18" t="str">
        <f aca="false">IF(D4&lt;=6,"0-6 mo",IF(D4&lt;=12,"7-12 mo",IF(D4&lt;=24,"13-24 mo","25+ mo")))</f>
        <v>0-6 mo</v>
      </c>
      <c r="M4" s="18" t="n">
        <f aca="false">IF(K4="Yes",1,0)</f>
        <v>1</v>
      </c>
      <c r="N4" s="18" t="n">
        <f aca="false">IF(AND(OR(Dashboard!$C$4="All",H4=Dashboard!$C$4),OR(Dashboard!$C$5="All",L4=Dashboard!$C$5),OR(Dashboard!$C$6="All",J4=Dashboard!$C$6)),1,0)</f>
        <v>1</v>
      </c>
      <c r="O4" s="18" t="n">
        <f aca="false">IF(AND(N4=1,M4=0,OR(H4="Month-to-Month",I4&gt;=3)),1,0)</f>
        <v>0</v>
      </c>
    </row>
    <row r="5" customFormat="false" ht="15" hidden="false" customHeight="false" outlineLevel="0" collapsed="false">
      <c r="A5" s="18" t="s">
        <v>96</v>
      </c>
      <c r="B5" s="18" t="s">
        <v>93</v>
      </c>
      <c r="C5" s="18" t="n">
        <v>52</v>
      </c>
      <c r="D5" s="18" t="n">
        <v>36</v>
      </c>
      <c r="E5" s="18" t="s">
        <v>52</v>
      </c>
      <c r="F5" s="20" t="n">
        <v>149.99</v>
      </c>
      <c r="G5" s="20" t="n">
        <v>5399.64</v>
      </c>
      <c r="H5" s="18" t="s">
        <v>32</v>
      </c>
      <c r="I5" s="18" t="n">
        <v>0</v>
      </c>
      <c r="J5" s="18" t="s">
        <v>41</v>
      </c>
      <c r="K5" s="18" t="s">
        <v>94</v>
      </c>
      <c r="L5" s="18" t="str">
        <f aca="false">IF(D5&lt;=6,"0-6 mo",IF(D5&lt;=12,"7-12 mo",IF(D5&lt;=24,"13-24 mo","25+ mo")))</f>
        <v>25+ mo</v>
      </c>
      <c r="M5" s="18" t="n">
        <f aca="false">IF(K5="Yes",1,0)</f>
        <v>0</v>
      </c>
      <c r="N5" s="18" t="n">
        <f aca="false">IF(AND(OR(Dashboard!$C$4="All",H5=Dashboard!$C$4),OR(Dashboard!$C$5="All",L5=Dashboard!$C$5),OR(Dashboard!$C$6="All",J5=Dashboard!$C$6)),1,0)</f>
        <v>1</v>
      </c>
      <c r="O5" s="18" t="n">
        <f aca="false">IF(AND(N5=1,M5=0,OR(H5="Month-to-Month",I5&gt;=3)),1,0)</f>
        <v>0</v>
      </c>
    </row>
    <row r="6" customFormat="false" ht="15" hidden="false" customHeight="false" outlineLevel="0" collapsed="false">
      <c r="A6" s="18" t="s">
        <v>97</v>
      </c>
      <c r="B6" s="18" t="s">
        <v>90</v>
      </c>
      <c r="C6" s="18" t="n">
        <v>41</v>
      </c>
      <c r="D6" s="18" t="n">
        <v>8</v>
      </c>
      <c r="E6" s="18" t="s">
        <v>51</v>
      </c>
      <c r="F6" s="20" t="n">
        <v>79.99</v>
      </c>
      <c r="G6" s="20" t="n">
        <v>639.92</v>
      </c>
      <c r="H6" s="18" t="s">
        <v>30</v>
      </c>
      <c r="I6" s="18" t="n">
        <v>4</v>
      </c>
      <c r="J6" s="18" t="s">
        <v>42</v>
      </c>
      <c r="K6" s="18" t="s">
        <v>91</v>
      </c>
      <c r="L6" s="18" t="str">
        <f aca="false">IF(D6&lt;=6,"0-6 mo",IF(D6&lt;=12,"7-12 mo",IF(D6&lt;=24,"13-24 mo","25+ mo")))</f>
        <v>7-12 mo</v>
      </c>
      <c r="M6" s="18" t="n">
        <f aca="false">IF(K6="Yes",1,0)</f>
        <v>1</v>
      </c>
      <c r="N6" s="18" t="n">
        <f aca="false">IF(AND(OR(Dashboard!$C$4="All",H6=Dashboard!$C$4),OR(Dashboard!$C$5="All",L6=Dashboard!$C$5),OR(Dashboard!$C$6="All",J6=Dashboard!$C$6)),1,0)</f>
        <v>1</v>
      </c>
      <c r="O6" s="18" t="n">
        <f aca="false">IF(AND(N6=1,M6=0,OR(H6="Month-to-Month",I6&gt;=3)),1,0)</f>
        <v>0</v>
      </c>
    </row>
    <row r="7" customFormat="false" ht="15" hidden="false" customHeight="false" outlineLevel="0" collapsed="false">
      <c r="A7" s="18" t="s">
        <v>98</v>
      </c>
      <c r="B7" s="18" t="s">
        <v>93</v>
      </c>
      <c r="C7" s="18" t="n">
        <v>31</v>
      </c>
      <c r="D7" s="18" t="n">
        <v>18</v>
      </c>
      <c r="E7" s="18" t="s">
        <v>50</v>
      </c>
      <c r="F7" s="20" t="n">
        <v>49.99</v>
      </c>
      <c r="G7" s="20" t="n">
        <v>899.82</v>
      </c>
      <c r="H7" s="18" t="s">
        <v>31</v>
      </c>
      <c r="I7" s="18" t="n">
        <v>2</v>
      </c>
      <c r="J7" s="18" t="s">
        <v>43</v>
      </c>
      <c r="K7" s="18" t="s">
        <v>94</v>
      </c>
      <c r="L7" s="18" t="str">
        <f aca="false">IF(D7&lt;=6,"0-6 mo",IF(D7&lt;=12,"7-12 mo",IF(D7&lt;=24,"13-24 mo","25+ mo")))</f>
        <v>13-24 mo</v>
      </c>
      <c r="M7" s="18" t="n">
        <f aca="false">IF(K7="Yes",1,0)</f>
        <v>0</v>
      </c>
      <c r="N7" s="18" t="n">
        <f aca="false">IF(AND(OR(Dashboard!$C$4="All",H7=Dashboard!$C$4),OR(Dashboard!$C$5="All",L7=Dashboard!$C$5),OR(Dashboard!$C$6="All",J7=Dashboard!$C$6)),1,0)</f>
        <v>1</v>
      </c>
      <c r="O7" s="18" t="n">
        <f aca="false">IF(AND(N7=1,M7=0,OR(H7="Month-to-Month",I7&gt;=3)),1,0)</f>
        <v>0</v>
      </c>
    </row>
    <row r="8" customFormat="false" ht="15" hidden="false" customHeight="false" outlineLevel="0" collapsed="false">
      <c r="A8" s="18" t="s">
        <v>99</v>
      </c>
      <c r="B8" s="18" t="s">
        <v>90</v>
      </c>
      <c r="C8" s="18" t="n">
        <v>23</v>
      </c>
      <c r="D8" s="18" t="n">
        <v>3</v>
      </c>
      <c r="E8" s="18" t="s">
        <v>50</v>
      </c>
      <c r="F8" s="20" t="n">
        <v>49.99</v>
      </c>
      <c r="G8" s="20" t="n">
        <v>149.97</v>
      </c>
      <c r="H8" s="18" t="s">
        <v>30</v>
      </c>
      <c r="I8" s="18" t="n">
        <v>6</v>
      </c>
      <c r="J8" s="18" t="s">
        <v>41</v>
      </c>
      <c r="K8" s="18" t="s">
        <v>91</v>
      </c>
      <c r="L8" s="18" t="str">
        <f aca="false">IF(D8&lt;=6,"0-6 mo",IF(D8&lt;=12,"7-12 mo",IF(D8&lt;=24,"13-24 mo","25+ mo")))</f>
        <v>0-6 mo</v>
      </c>
      <c r="M8" s="18" t="n">
        <f aca="false">IF(K8="Yes",1,0)</f>
        <v>1</v>
      </c>
      <c r="N8" s="18" t="n">
        <f aca="false">IF(AND(OR(Dashboard!$C$4="All",H8=Dashboard!$C$4),OR(Dashboard!$C$5="All",L8=Dashboard!$C$5),OR(Dashboard!$C$6="All",J8=Dashboard!$C$6)),1,0)</f>
        <v>1</v>
      </c>
      <c r="O8" s="18" t="n">
        <f aca="false">IF(AND(N8=1,M8=0,OR(H8="Month-to-Month",I8&gt;=3)),1,0)</f>
        <v>0</v>
      </c>
    </row>
    <row r="9" customFormat="false" ht="15" hidden="false" customHeight="false" outlineLevel="0" collapsed="false">
      <c r="A9" s="18" t="s">
        <v>100</v>
      </c>
      <c r="B9" s="18" t="s">
        <v>93</v>
      </c>
      <c r="C9" s="18" t="n">
        <v>60</v>
      </c>
      <c r="D9" s="18" t="n">
        <v>48</v>
      </c>
      <c r="E9" s="18" t="s">
        <v>52</v>
      </c>
      <c r="F9" s="20" t="n">
        <v>149.99</v>
      </c>
      <c r="G9" s="20" t="n">
        <v>7199.52</v>
      </c>
      <c r="H9" s="18" t="s">
        <v>32</v>
      </c>
      <c r="I9" s="18" t="n">
        <v>1</v>
      </c>
      <c r="J9" s="18" t="s">
        <v>40</v>
      </c>
      <c r="K9" s="18" t="s">
        <v>94</v>
      </c>
      <c r="L9" s="18" t="str">
        <f aca="false">IF(D9&lt;=6,"0-6 mo",IF(D9&lt;=12,"7-12 mo",IF(D9&lt;=24,"13-24 mo","25+ mo")))</f>
        <v>25+ mo</v>
      </c>
      <c r="M9" s="18" t="n">
        <f aca="false">IF(K9="Yes",1,0)</f>
        <v>0</v>
      </c>
      <c r="N9" s="18" t="n">
        <f aca="false">IF(AND(OR(Dashboard!$C$4="All",H9=Dashboard!$C$4),OR(Dashboard!$C$5="All",L9=Dashboard!$C$5),OR(Dashboard!$C$6="All",J9=Dashboard!$C$6)),1,0)</f>
        <v>1</v>
      </c>
      <c r="O9" s="18" t="n">
        <f aca="false">IF(AND(N9=1,M9=0,OR(H9="Month-to-Month",I9&gt;=3)),1,0)</f>
        <v>0</v>
      </c>
    </row>
    <row r="10" customFormat="false" ht="15" hidden="false" customHeight="false" outlineLevel="0" collapsed="false">
      <c r="A10" s="18" t="s">
        <v>101</v>
      </c>
      <c r="B10" s="18" t="s">
        <v>90</v>
      </c>
      <c r="C10" s="18" t="n">
        <v>38</v>
      </c>
      <c r="D10" s="18" t="n">
        <v>15</v>
      </c>
      <c r="E10" s="18" t="s">
        <v>51</v>
      </c>
      <c r="F10" s="20" t="n">
        <v>79.99</v>
      </c>
      <c r="G10" s="20" t="n">
        <v>1199.85</v>
      </c>
      <c r="H10" s="18" t="s">
        <v>31</v>
      </c>
      <c r="I10" s="18" t="n">
        <v>2</v>
      </c>
      <c r="J10" s="18" t="s">
        <v>41</v>
      </c>
      <c r="K10" s="18" t="s">
        <v>94</v>
      </c>
      <c r="L10" s="18" t="str">
        <f aca="false">IF(D10&lt;=6,"0-6 mo",IF(D10&lt;=12,"7-12 mo",IF(D10&lt;=24,"13-24 mo","25+ mo")))</f>
        <v>13-24 mo</v>
      </c>
      <c r="M10" s="18" t="n">
        <f aca="false">IF(K10="Yes",1,0)</f>
        <v>0</v>
      </c>
      <c r="N10" s="18" t="n">
        <f aca="false">IF(AND(OR(Dashboard!$C$4="All",H10=Dashboard!$C$4),OR(Dashboard!$C$5="All",L10=Dashboard!$C$5),OR(Dashboard!$C$6="All",J10=Dashboard!$C$6)),1,0)</f>
        <v>1</v>
      </c>
      <c r="O10" s="18" t="n">
        <f aca="false">IF(AND(N10=1,M10=0,OR(H10="Month-to-Month",I10&gt;=3)),1,0)</f>
        <v>0</v>
      </c>
    </row>
    <row r="11" customFormat="false" ht="15" hidden="false" customHeight="false" outlineLevel="0" collapsed="false">
      <c r="A11" s="18" t="s">
        <v>102</v>
      </c>
      <c r="B11" s="18" t="s">
        <v>93</v>
      </c>
      <c r="C11" s="18" t="n">
        <v>27</v>
      </c>
      <c r="D11" s="18" t="n">
        <v>4</v>
      </c>
      <c r="E11" s="18" t="s">
        <v>50</v>
      </c>
      <c r="F11" s="20" t="n">
        <v>49.99</v>
      </c>
      <c r="G11" s="20" t="n">
        <v>199.96</v>
      </c>
      <c r="H11" s="18" t="s">
        <v>30</v>
      </c>
      <c r="I11" s="18" t="n">
        <v>4</v>
      </c>
      <c r="J11" s="18" t="s">
        <v>43</v>
      </c>
      <c r="K11" s="18" t="s">
        <v>91</v>
      </c>
      <c r="L11" s="18" t="str">
        <f aca="false">IF(D11&lt;=6,"0-6 mo",IF(D11&lt;=12,"7-12 mo",IF(D11&lt;=24,"13-24 mo","25+ mo")))</f>
        <v>0-6 mo</v>
      </c>
      <c r="M11" s="18" t="n">
        <f aca="false">IF(K11="Yes",1,0)</f>
        <v>1</v>
      </c>
      <c r="N11" s="18" t="n">
        <f aca="false">IF(AND(OR(Dashboard!$C$4="All",H11=Dashboard!$C$4),OR(Dashboard!$C$5="All",L11=Dashboard!$C$5),OR(Dashboard!$C$6="All",J11=Dashboard!$C$6)),1,0)</f>
        <v>1</v>
      </c>
      <c r="O11" s="18" t="n">
        <f aca="false">IF(AND(N11=1,M11=0,OR(H11="Month-to-Month",I11&gt;=3)),1,0)</f>
        <v>0</v>
      </c>
    </row>
    <row r="12" customFormat="false" ht="15" hidden="false" customHeight="false" outlineLevel="0" collapsed="false">
      <c r="A12" s="18" t="s">
        <v>103</v>
      </c>
      <c r="B12" s="18" t="s">
        <v>90</v>
      </c>
      <c r="C12" s="18" t="n">
        <v>49</v>
      </c>
      <c r="D12" s="18" t="n">
        <v>30</v>
      </c>
      <c r="E12" s="18" t="s">
        <v>52</v>
      </c>
      <c r="F12" s="20" t="n">
        <v>149.99</v>
      </c>
      <c r="G12" s="20" t="n">
        <v>4499.7</v>
      </c>
      <c r="H12" s="18" t="s">
        <v>32</v>
      </c>
      <c r="I12" s="18" t="n">
        <v>0</v>
      </c>
      <c r="J12" s="18" t="s">
        <v>41</v>
      </c>
      <c r="K12" s="18" t="s">
        <v>94</v>
      </c>
      <c r="L12" s="18" t="str">
        <f aca="false">IF(D12&lt;=6,"0-6 mo",IF(D12&lt;=12,"7-12 mo",IF(D12&lt;=24,"13-24 mo","25+ mo")))</f>
        <v>25+ mo</v>
      </c>
      <c r="M12" s="18" t="n">
        <f aca="false">IF(K12="Yes",1,0)</f>
        <v>0</v>
      </c>
      <c r="N12" s="18" t="n">
        <f aca="false">IF(AND(OR(Dashboard!$C$4="All",H12=Dashboard!$C$4),OR(Dashboard!$C$5="All",L12=Dashboard!$C$5),OR(Dashboard!$C$6="All",J12=Dashboard!$C$6)),1,0)</f>
        <v>1</v>
      </c>
      <c r="O12" s="18" t="n">
        <f aca="false">IF(AND(N12=1,M12=0,OR(H12="Month-to-Month",I12&gt;=3)),1,0)</f>
        <v>0</v>
      </c>
    </row>
    <row r="13" customFormat="false" ht="15" hidden="false" customHeight="false" outlineLevel="0" collapsed="false">
      <c r="A13" s="18" t="s">
        <v>104</v>
      </c>
      <c r="B13" s="18" t="s">
        <v>93</v>
      </c>
      <c r="C13" s="18" t="n">
        <v>33</v>
      </c>
      <c r="D13" s="18" t="n">
        <v>14</v>
      </c>
      <c r="E13" s="18" t="s">
        <v>51</v>
      </c>
      <c r="F13" s="20" t="n">
        <v>79.99</v>
      </c>
      <c r="G13" s="20" t="n">
        <v>1119.86</v>
      </c>
      <c r="H13" s="18" t="s">
        <v>30</v>
      </c>
      <c r="I13" s="18" t="n">
        <v>3</v>
      </c>
      <c r="J13" s="18" t="s">
        <v>42</v>
      </c>
      <c r="K13" s="18" t="s">
        <v>91</v>
      </c>
      <c r="L13" s="18" t="str">
        <f aca="false">IF(D13&lt;=6,"0-6 mo",IF(D13&lt;=12,"7-12 mo",IF(D13&lt;=24,"13-24 mo","25+ mo")))</f>
        <v>13-24 mo</v>
      </c>
      <c r="M13" s="18" t="n">
        <f aca="false">IF(K13="Yes",1,0)</f>
        <v>1</v>
      </c>
      <c r="N13" s="18" t="n">
        <f aca="false">IF(AND(OR(Dashboard!$C$4="All",H13=Dashboard!$C$4),OR(Dashboard!$C$5="All",L13=Dashboard!$C$5),OR(Dashboard!$C$6="All",J13=Dashboard!$C$6)),1,0)</f>
        <v>1</v>
      </c>
      <c r="O13" s="18" t="n">
        <f aca="false">IF(AND(N13=1,M13=0,OR(H13="Month-to-Month",I13&gt;=3)),1,0)</f>
        <v>0</v>
      </c>
    </row>
    <row r="14" customFormat="false" ht="15" hidden="false" customHeight="false" outlineLevel="0" collapsed="false">
      <c r="A14" s="18" t="s">
        <v>105</v>
      </c>
      <c r="B14" s="18" t="s">
        <v>90</v>
      </c>
      <c r="C14" s="18" t="n">
        <v>55</v>
      </c>
      <c r="D14" s="18" t="n">
        <v>22</v>
      </c>
      <c r="E14" s="18" t="s">
        <v>50</v>
      </c>
      <c r="F14" s="20" t="n">
        <v>49.99</v>
      </c>
      <c r="G14" s="20" t="n">
        <v>1099.78</v>
      </c>
      <c r="H14" s="18" t="s">
        <v>31</v>
      </c>
      <c r="I14" s="18" t="n">
        <v>1</v>
      </c>
      <c r="J14" s="18" t="s">
        <v>40</v>
      </c>
      <c r="K14" s="18" t="s">
        <v>94</v>
      </c>
      <c r="L14" s="18" t="str">
        <f aca="false">IF(D14&lt;=6,"0-6 mo",IF(D14&lt;=12,"7-12 mo",IF(D14&lt;=24,"13-24 mo","25+ mo")))</f>
        <v>13-24 mo</v>
      </c>
      <c r="M14" s="18" t="n">
        <f aca="false">IF(K14="Yes",1,0)</f>
        <v>0</v>
      </c>
      <c r="N14" s="18" t="n">
        <f aca="false">IF(AND(OR(Dashboard!$C$4="All",H14=Dashboard!$C$4),OR(Dashboard!$C$5="All",L14=Dashboard!$C$5),OR(Dashboard!$C$6="All",J14=Dashboard!$C$6)),1,0)</f>
        <v>1</v>
      </c>
      <c r="O14" s="18" t="n">
        <f aca="false">IF(AND(N14=1,M14=0,OR(H14="Month-to-Month",I14&gt;=3)),1,0)</f>
        <v>0</v>
      </c>
    </row>
    <row r="15" customFormat="false" ht="15" hidden="false" customHeight="false" outlineLevel="0" collapsed="false">
      <c r="A15" s="18" t="s">
        <v>106</v>
      </c>
      <c r="B15" s="18" t="s">
        <v>93</v>
      </c>
      <c r="C15" s="18" t="n">
        <v>26</v>
      </c>
      <c r="D15" s="18" t="n">
        <v>2</v>
      </c>
      <c r="E15" s="18" t="s">
        <v>50</v>
      </c>
      <c r="F15" s="20" t="n">
        <v>49.99</v>
      </c>
      <c r="G15" s="20" t="n">
        <v>99.98</v>
      </c>
      <c r="H15" s="18" t="s">
        <v>30</v>
      </c>
      <c r="I15" s="18" t="n">
        <v>5</v>
      </c>
      <c r="J15" s="18" t="s">
        <v>43</v>
      </c>
      <c r="K15" s="18" t="s">
        <v>91</v>
      </c>
      <c r="L15" s="18" t="str">
        <f aca="false">IF(D15&lt;=6,"0-6 mo",IF(D15&lt;=12,"7-12 mo",IF(D15&lt;=24,"13-24 mo","25+ mo")))</f>
        <v>0-6 mo</v>
      </c>
      <c r="M15" s="18" t="n">
        <f aca="false">IF(K15="Yes",1,0)</f>
        <v>1</v>
      </c>
      <c r="N15" s="18" t="n">
        <f aca="false">IF(AND(OR(Dashboard!$C$4="All",H15=Dashboard!$C$4),OR(Dashboard!$C$5="All",L15=Dashboard!$C$5),OR(Dashboard!$C$6="All",J15=Dashboard!$C$6)),1,0)</f>
        <v>1</v>
      </c>
      <c r="O15" s="18" t="n">
        <f aca="false">IF(AND(N15=1,M15=0,OR(H15="Month-to-Month",I15&gt;=3)),1,0)</f>
        <v>0</v>
      </c>
    </row>
    <row r="16" customFormat="false" ht="15" hidden="false" customHeight="false" outlineLevel="0" collapsed="false">
      <c r="A16" s="18" t="s">
        <v>107</v>
      </c>
      <c r="B16" s="18" t="s">
        <v>90</v>
      </c>
      <c r="C16" s="18" t="n">
        <v>43</v>
      </c>
      <c r="D16" s="18" t="n">
        <v>40</v>
      </c>
      <c r="E16" s="18" t="s">
        <v>52</v>
      </c>
      <c r="F16" s="20" t="n">
        <v>149.99</v>
      </c>
      <c r="G16" s="20" t="n">
        <v>5999.6</v>
      </c>
      <c r="H16" s="18" t="s">
        <v>32</v>
      </c>
      <c r="I16" s="18" t="n">
        <v>1</v>
      </c>
      <c r="J16" s="18" t="s">
        <v>41</v>
      </c>
      <c r="K16" s="18" t="s">
        <v>94</v>
      </c>
      <c r="L16" s="18" t="str">
        <f aca="false">IF(D16&lt;=6,"0-6 mo",IF(D16&lt;=12,"7-12 mo",IF(D16&lt;=24,"13-24 mo","25+ mo")))</f>
        <v>25+ mo</v>
      </c>
      <c r="M16" s="18" t="n">
        <f aca="false">IF(K16="Yes",1,0)</f>
        <v>0</v>
      </c>
      <c r="N16" s="18" t="n">
        <f aca="false">IF(AND(OR(Dashboard!$C$4="All",H16=Dashboard!$C$4),OR(Dashboard!$C$5="All",L16=Dashboard!$C$5),OR(Dashboard!$C$6="All",J16=Dashboard!$C$6)),1,0)</f>
        <v>1</v>
      </c>
      <c r="O16" s="18" t="n">
        <f aca="false">IF(AND(N16=1,M16=0,OR(H16="Month-to-Month",I16&gt;=3)),1,0)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2026-09-24T04:01:25Z</dcterms:created>
  <dc:creator>openpyxl</dc:creator>
  <dc:description/>
  <dc:language>en-US</dc:language>
  <cp:lastModifiedBy/>
  <dcterms:modified xsi:type="dcterms:W3CDTF">2026-09-24T04:01:27Z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